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rgesteuart-my.sharepoint.com/personal/kusala_gshealth_lk/Documents/Desktop/"/>
    </mc:Choice>
  </mc:AlternateContent>
  <xr:revisionPtr revIDLastSave="89" documentId="8_{548C2B00-C5DE-4002-9FA3-DD3379650398}" xr6:coauthVersionLast="47" xr6:coauthVersionMax="47" xr10:uidLastSave="{C02AD3D0-3621-4A8A-8A04-100D31EB9450}"/>
  <bookViews>
    <workbookView xWindow="-108" yWindow="-108" windowWidth="23256" windowHeight="12456" xr2:uid="{3AF00701-84EB-4656-94ED-4EB9FDF2D49A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2" l="1"/>
  <c r="H2" i="2"/>
  <c r="H4" i="2"/>
  <c r="H5" i="2"/>
  <c r="H6" i="2"/>
  <c r="H7" i="2"/>
  <c r="H1" i="2"/>
  <c r="C5" i="2"/>
  <c r="E5" i="2" s="1"/>
  <c r="B7" i="2"/>
  <c r="E6" i="1" l="1"/>
</calcChain>
</file>

<file path=xl/sharedStrings.xml><?xml version="1.0" encoding="utf-8"?>
<sst xmlns="http://schemas.openxmlformats.org/spreadsheetml/2006/main" count="153" uniqueCount="60">
  <si>
    <t>Dashboard Type</t>
  </si>
  <si>
    <t>Sub Area</t>
  </si>
  <si>
    <t>GSH Excel Data</t>
  </si>
  <si>
    <t>NEW Dashboard Data</t>
  </si>
  <si>
    <t>Result (Success/Failure)</t>
  </si>
  <si>
    <t>DASHBOARD FY</t>
  </si>
  <si>
    <t>TOTAL BUDGET vs ACTUAL – CURRENT MONTH</t>
  </si>
  <si>
    <t>Sub Heading</t>
  </si>
  <si>
    <t>DIRECT BUDGET vs ACTUAL – CURRENT MONTH</t>
  </si>
  <si>
    <t>DIS : PRI BUDGET vs ACTUAL – CURRENT MONTH</t>
  </si>
  <si>
    <t>DIS : RD BUDGET vs ACTUAL – CURRENT MONTH</t>
  </si>
  <si>
    <t>Target</t>
  </si>
  <si>
    <t>Actual</t>
  </si>
  <si>
    <t>849.9 M</t>
  </si>
  <si>
    <t>1,078.3 M</t>
  </si>
  <si>
    <t>349.2 M</t>
  </si>
  <si>
    <t>376.1 M</t>
  </si>
  <si>
    <t>729.0 M</t>
  </si>
  <si>
    <t>473.8 M</t>
  </si>
  <si>
    <t>812.5 M</t>
  </si>
  <si>
    <t>459.1 M</t>
  </si>
  <si>
    <t>TOTAL - RANGE WISE FY</t>
  </si>
  <si>
    <t>CUMULATIVE - SALES UPDATE </t>
  </si>
  <si>
    <t>TOTAL - CURRENT MONTH DETAILS (SEPTEMBER)</t>
  </si>
  <si>
    <t>ANNUAL - SALES UPDATE (FULL YEAR FY 2026/27) </t>
  </si>
  <si>
    <t>MONTHLY-BUDGET</t>
  </si>
  <si>
    <t>MONTHLY-ACTUAL</t>
  </si>
  <si>
    <t>CUM-BUDGET</t>
  </si>
  <si>
    <t>CUM-ACTUAL</t>
  </si>
  <si>
    <t>ANNUAL-BUDGET</t>
  </si>
  <si>
    <t>ANNUAL-ACTUAL</t>
  </si>
  <si>
    <t>DIS-DASHBOARD FY</t>
  </si>
  <si>
    <t>PRIMARY SALES DETAILS</t>
  </si>
  <si>
    <t>PRIMARY SALES DETAILS </t>
  </si>
  <si>
    <t>RD SALES DETAILS</t>
  </si>
  <si>
    <t>DISTRIBUTOR TOTAL BUDGET VS ACTUAL FY 27'</t>
  </si>
  <si>
    <t>Pri:Tgt</t>
  </si>
  <si>
    <t>Pri:Act</t>
  </si>
  <si>
    <t>RD:Tgt</t>
  </si>
  <si>
    <t>RD:Act</t>
  </si>
  <si>
    <t>8,896 M</t>
  </si>
  <si>
    <t>4,295 M</t>
  </si>
  <si>
    <t>9,913 M</t>
  </si>
  <si>
    <t>4,143 M</t>
  </si>
  <si>
    <t>DISTRI-RANGE WISE FY</t>
  </si>
  <si>
    <t>DIVISION WISE SALES UPDATE - CURRENT MONTH </t>
  </si>
  <si>
    <t>DIVISION WISE SALES UPDATE - CUMULATIVE (YTD) </t>
  </si>
  <si>
    <t>PRIMARY TARGET</t>
  </si>
  <si>
    <t>PRIMARY ACTUAL</t>
  </si>
  <si>
    <t xml:space="preserve">RD TARGET </t>
  </si>
  <si>
    <t>RD ACTUAL</t>
  </si>
  <si>
    <t>April</t>
  </si>
  <si>
    <t>may</t>
  </si>
  <si>
    <t>June</t>
  </si>
  <si>
    <t>July</t>
  </si>
  <si>
    <t>August</t>
  </si>
  <si>
    <t>September</t>
  </si>
  <si>
    <t>October</t>
  </si>
  <si>
    <t>SUCCESS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</si>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</sst>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#,,\ &quot;M&quot;"/>
  </numFmts>
  <fonts count="1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242424"/>
      <name val="Calibri"/>
      <family val="2"/>
    </font>
    <font>
      <sz val="11"/>
      <color rgb="FF0F172A"/>
      <name val="Arial"/>
      <family val="2"/>
    </font>
    <font>
      <sz val="11"/>
      <color rgb="FF10B981"/>
      <name val="Arial"/>
      <family val="2"/>
    </font>
    <font>
      <b/>
      <sz val="13"/>
      <color theme="0"/>
      <name val="Aptos Narrow"/>
      <family val="2"/>
      <scheme val="minor"/>
    </font>
    <font>
      <sz val="8"/>
      <name val="Calibri"/>
      <family val="2"/>
    </font>
    <font>
      <b/>
      <sz val="11"/>
      <color theme="0"/>
      <name val="Calibri"/>
      <family val="2"/>
    </font>
    <font>
      <b/>
      <sz val="11"/>
      <color rgb="FF24242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E2E8F0"/>
      </right>
      <top/>
      <bottom/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" fontId="0" fillId="0" borderId="0" xfId="0" applyNumberFormat="1"/>
    <xf numFmtId="43" fontId="0" fillId="0" borderId="0" xfId="1" applyFont="1"/>
    <xf numFmtId="43" fontId="0" fillId="0" borderId="0" xfId="0" applyNumberFormat="1"/>
    <xf numFmtId="0" fontId="4" fillId="2" borderId="0" xfId="0" applyFont="1" applyFill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 wrapText="1"/>
    </xf>
    <xf numFmtId="43" fontId="6" fillId="3" borderId="2" xfId="1" applyFont="1" applyFill="1" applyBorder="1" applyAlignment="1">
      <alignment horizontal="right" vertical="center"/>
    </xf>
    <xf numFmtId="43" fontId="2" fillId="0" borderId="0" xfId="1" applyFont="1"/>
    <xf numFmtId="0" fontId="2" fillId="0" borderId="0" xfId="0" applyFont="1"/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164" fontId="3" fillId="2" borderId="3" xfId="1" applyNumberFormat="1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1" applyNumberFormat="1" applyFont="1" applyBorder="1" applyAlignment="1">
      <alignment horizontal="left"/>
    </xf>
    <xf numFmtId="43" fontId="0" fillId="0" borderId="3" xfId="1" applyFont="1" applyBorder="1"/>
    <xf numFmtId="4" fontId="0" fillId="0" borderId="3" xfId="0" applyNumberFormat="1" applyBorder="1"/>
    <xf numFmtId="0" fontId="8" fillId="4" borderId="3" xfId="0" applyFont="1" applyFill="1" applyBorder="1"/>
    <xf numFmtId="43" fontId="8" fillId="4" borderId="3" xfId="1" applyFont="1" applyFill="1" applyBorder="1"/>
    <xf numFmtId="4" fontId="8" fillId="4" borderId="3" xfId="0" applyNumberFormat="1" applyFont="1" applyFill="1" applyBorder="1"/>
    <xf numFmtId="164" fontId="0" fillId="0" borderId="3" xfId="0" applyNumberFormat="1" applyBorder="1" applyAlignment="1">
      <alignment horizontal="left"/>
    </xf>
    <xf numFmtId="0" fontId="9" fillId="2" borderId="3" xfId="0" applyFont="1" applyFill="1" applyBorder="1" applyAlignment="1">
      <alignment vertical="center" wrapText="1"/>
    </xf>
    <xf numFmtId="43" fontId="8" fillId="4" borderId="3" xfId="0" applyNumberFormat="1" applyFont="1" applyFill="1" applyBorder="1"/>
    <xf numFmtId="43" fontId="9" fillId="2" borderId="3" xfId="1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6392-CB3B-46B2-8399-6D352AB42888}">
  <dimension ref="B2:I32"/>
  <sheetViews>
    <sheetView tabSelected="1" workbookViewId="0">
      <selection activeCell="C7" sqref="C7"/>
    </sheetView>
  </sheetViews>
  <sheetFormatPr defaultRowHeight="14.4" x14ac:dyDescent="0.3"/>
  <cols>
    <col min="2" max="2" width="23.5546875" customWidth="1"/>
    <col min="3" max="3" width="42" bestFit="1" customWidth="1"/>
    <col min="4" max="4" width="23.5546875" customWidth="1"/>
    <col min="5" max="5" width="23.5546875" style="2" customWidth="1"/>
    <col min="6" max="7" width="23.5546875" customWidth="1"/>
    <col min="9" max="9" width="16.109375" bestFit="1" customWidth="1"/>
  </cols>
  <sheetData>
    <row r="2" spans="2:9" s="8" customFormat="1" x14ac:dyDescent="0.3">
      <c r="B2" s="21" t="s">
        <v>0</v>
      </c>
      <c r="C2" s="21" t="s">
        <v>1</v>
      </c>
      <c r="D2" s="21" t="s">
        <v>7</v>
      </c>
      <c r="E2" s="23" t="s">
        <v>2</v>
      </c>
      <c r="F2" s="21" t="s">
        <v>3</v>
      </c>
      <c r="G2" s="21" t="s">
        <v>4</v>
      </c>
    </row>
    <row r="3" spans="2:9" x14ac:dyDescent="0.3">
      <c r="B3" s="9" t="s">
        <v>5</v>
      </c>
      <c r="C3" s="9" t="s">
        <v>6</v>
      </c>
      <c r="D3" s="9" t="s">
        <v>11</v>
      </c>
      <c r="E3" s="10" t="s">
        <v>14</v>
      </c>
      <c r="F3" s="9" t="s">
        <v>14</v>
      </c>
      <c r="G3" s="21" t="s">
        <v>58</v>
      </c>
    </row>
    <row r="4" spans="2:9" x14ac:dyDescent="0.3">
      <c r="B4" s="9" t="s">
        <v>5</v>
      </c>
      <c r="C4" s="9" t="s">
        <v>6</v>
      </c>
      <c r="D4" s="9" t="s">
        <v>12</v>
      </c>
      <c r="E4" s="11">
        <v>849865163.89999819</v>
      </c>
      <c r="F4" s="9" t="s">
        <v>13</v>
      </c>
      <c r="G4" s="21" t="s">
        <v>58</v>
      </c>
    </row>
    <row r="5" spans="2:9" x14ac:dyDescent="0.3">
      <c r="B5" s="9" t="s">
        <v>5</v>
      </c>
      <c r="C5" s="12" t="s">
        <v>8</v>
      </c>
      <c r="D5" s="9" t="s">
        <v>11</v>
      </c>
      <c r="E5" s="13" t="s">
        <v>15</v>
      </c>
      <c r="F5" s="12" t="s">
        <v>15</v>
      </c>
      <c r="G5" s="21" t="s">
        <v>58</v>
      </c>
    </row>
    <row r="6" spans="2:9" x14ac:dyDescent="0.3">
      <c r="B6" s="9" t="s">
        <v>5</v>
      </c>
      <c r="C6" s="12" t="s">
        <v>8</v>
      </c>
      <c r="D6" s="9" t="s">
        <v>12</v>
      </c>
      <c r="E6" s="14">
        <f>E4-E8</f>
        <v>376111393.1999982</v>
      </c>
      <c r="F6" s="12" t="s">
        <v>16</v>
      </c>
      <c r="G6" s="21" t="s">
        <v>58</v>
      </c>
    </row>
    <row r="7" spans="2:9" x14ac:dyDescent="0.3">
      <c r="B7" s="9" t="s">
        <v>5</v>
      </c>
      <c r="C7" s="12" t="s">
        <v>9</v>
      </c>
      <c r="D7" s="9" t="s">
        <v>11</v>
      </c>
      <c r="E7" s="13" t="s">
        <v>17</v>
      </c>
      <c r="F7" s="12" t="s">
        <v>17</v>
      </c>
      <c r="G7" s="21" t="s">
        <v>58</v>
      </c>
    </row>
    <row r="8" spans="2:9" x14ac:dyDescent="0.3">
      <c r="B8" s="9" t="s">
        <v>5</v>
      </c>
      <c r="C8" s="12" t="s">
        <v>9</v>
      </c>
      <c r="D8" s="9" t="s">
        <v>12</v>
      </c>
      <c r="E8" s="14">
        <v>473753770.69999999</v>
      </c>
      <c r="F8" s="12" t="s">
        <v>18</v>
      </c>
      <c r="G8" s="21" t="s">
        <v>58</v>
      </c>
    </row>
    <row r="9" spans="2:9" x14ac:dyDescent="0.3">
      <c r="B9" s="9" t="s">
        <v>5</v>
      </c>
      <c r="C9" s="12" t="s">
        <v>10</v>
      </c>
      <c r="D9" s="9" t="s">
        <v>11</v>
      </c>
      <c r="E9" s="13" t="s">
        <v>19</v>
      </c>
      <c r="F9" s="12" t="s">
        <v>19</v>
      </c>
      <c r="G9" s="21" t="s">
        <v>58</v>
      </c>
    </row>
    <row r="10" spans="2:9" x14ac:dyDescent="0.3">
      <c r="B10" s="9" t="s">
        <v>5</v>
      </c>
      <c r="C10" s="12" t="s">
        <v>10</v>
      </c>
      <c r="D10" s="9" t="s">
        <v>12</v>
      </c>
      <c r="E10" s="14">
        <v>459056439.39999998</v>
      </c>
      <c r="F10" s="12" t="s">
        <v>20</v>
      </c>
      <c r="G10" s="21" t="s">
        <v>58</v>
      </c>
    </row>
    <row r="11" spans="2:9" x14ac:dyDescent="0.3">
      <c r="B11" s="12" t="s">
        <v>21</v>
      </c>
      <c r="C11" s="12" t="s">
        <v>23</v>
      </c>
      <c r="D11" s="12" t="s">
        <v>25</v>
      </c>
      <c r="E11" s="15">
        <v>1078258883.4027982</v>
      </c>
      <c r="F11" s="16">
        <v>1078258883.4200001</v>
      </c>
      <c r="G11" s="21" t="s">
        <v>58</v>
      </c>
    </row>
    <row r="12" spans="2:9" x14ac:dyDescent="0.3">
      <c r="B12" s="12" t="s">
        <v>21</v>
      </c>
      <c r="C12" s="12" t="s">
        <v>23</v>
      </c>
      <c r="D12" s="12" t="s">
        <v>26</v>
      </c>
      <c r="E12" s="15">
        <v>849865163.89999819</v>
      </c>
      <c r="F12" s="16">
        <v>849865163.89999998</v>
      </c>
      <c r="G12" s="21" t="s">
        <v>58</v>
      </c>
      <c r="I12" s="3"/>
    </row>
    <row r="13" spans="2:9" x14ac:dyDescent="0.3">
      <c r="B13" s="12" t="s">
        <v>21</v>
      </c>
      <c r="C13" s="12" t="s">
        <v>22</v>
      </c>
      <c r="D13" s="12" t="s">
        <v>27</v>
      </c>
      <c r="E13" s="15">
        <v>6764254114.1350012</v>
      </c>
      <c r="F13" s="16">
        <v>6764254114.1599998</v>
      </c>
      <c r="G13" s="21" t="s">
        <v>58</v>
      </c>
    </row>
    <row r="14" spans="2:9" x14ac:dyDescent="0.3">
      <c r="B14" s="17" t="s">
        <v>21</v>
      </c>
      <c r="C14" s="17" t="s">
        <v>22</v>
      </c>
      <c r="D14" s="17" t="s">
        <v>28</v>
      </c>
      <c r="E14" s="18">
        <v>7266166771.6199989</v>
      </c>
      <c r="F14" s="19">
        <v>7265803556.6000004</v>
      </c>
      <c r="G14" s="22" t="s">
        <v>59</v>
      </c>
    </row>
    <row r="15" spans="2:9" x14ac:dyDescent="0.3">
      <c r="B15" s="12" t="s">
        <v>21</v>
      </c>
      <c r="C15" s="12" t="s">
        <v>24</v>
      </c>
      <c r="D15" s="12" t="s">
        <v>29</v>
      </c>
      <c r="E15" s="15">
        <v>13554033875.720539</v>
      </c>
      <c r="F15" s="16">
        <v>13554033875.690001</v>
      </c>
      <c r="G15" s="21" t="s">
        <v>58</v>
      </c>
    </row>
    <row r="16" spans="2:9" x14ac:dyDescent="0.3">
      <c r="B16" s="17" t="s">
        <v>21</v>
      </c>
      <c r="C16" s="17" t="s">
        <v>24</v>
      </c>
      <c r="D16" s="17" t="s">
        <v>30</v>
      </c>
      <c r="E16" s="18">
        <v>7266166771.6199989</v>
      </c>
      <c r="F16" s="19">
        <v>7265803556.6000004</v>
      </c>
      <c r="G16" s="22" t="s">
        <v>59</v>
      </c>
    </row>
    <row r="17" spans="2:7" x14ac:dyDescent="0.3">
      <c r="B17" s="12" t="s">
        <v>31</v>
      </c>
      <c r="C17" s="12" t="s">
        <v>32</v>
      </c>
      <c r="D17" s="12" t="s">
        <v>36</v>
      </c>
      <c r="E17" s="20">
        <v>729032210.91739821</v>
      </c>
      <c r="F17" s="12" t="s">
        <v>17</v>
      </c>
      <c r="G17" s="21" t="s">
        <v>58</v>
      </c>
    </row>
    <row r="18" spans="2:7" x14ac:dyDescent="0.3">
      <c r="B18" s="12" t="s">
        <v>31</v>
      </c>
      <c r="C18" s="12" t="s">
        <v>33</v>
      </c>
      <c r="D18" s="12" t="s">
        <v>37</v>
      </c>
      <c r="E18" s="14">
        <v>473753770.69999999</v>
      </c>
      <c r="F18" s="12" t="s">
        <v>18</v>
      </c>
      <c r="G18" s="21" t="s">
        <v>58</v>
      </c>
    </row>
    <row r="19" spans="2:7" x14ac:dyDescent="0.3">
      <c r="B19" s="12" t="s">
        <v>31</v>
      </c>
      <c r="C19" s="12" t="s">
        <v>34</v>
      </c>
      <c r="D19" s="12" t="s">
        <v>38</v>
      </c>
      <c r="E19" s="14">
        <v>812538343.00728261</v>
      </c>
      <c r="F19" s="12" t="s">
        <v>19</v>
      </c>
      <c r="G19" s="21" t="s">
        <v>58</v>
      </c>
    </row>
    <row r="20" spans="2:7" x14ac:dyDescent="0.3">
      <c r="B20" s="12" t="s">
        <v>31</v>
      </c>
      <c r="C20" s="12" t="s">
        <v>34</v>
      </c>
      <c r="D20" s="12" t="s">
        <v>39</v>
      </c>
      <c r="E20" s="14">
        <v>459056439.39999998</v>
      </c>
      <c r="F20" s="12" t="s">
        <v>20</v>
      </c>
      <c r="G20" s="21" t="s">
        <v>58</v>
      </c>
    </row>
    <row r="21" spans="2:7" x14ac:dyDescent="0.3">
      <c r="B21" s="12" t="s">
        <v>31</v>
      </c>
      <c r="C21" s="12" t="s">
        <v>35</v>
      </c>
      <c r="D21" s="12" t="s">
        <v>36</v>
      </c>
      <c r="E21" s="14">
        <v>8895869463.2064514</v>
      </c>
      <c r="F21" s="12" t="s">
        <v>40</v>
      </c>
      <c r="G21" s="21" t="s">
        <v>58</v>
      </c>
    </row>
    <row r="22" spans="2:7" x14ac:dyDescent="0.3">
      <c r="B22" s="12" t="s">
        <v>31</v>
      </c>
      <c r="C22" s="12" t="s">
        <v>35</v>
      </c>
      <c r="D22" s="12" t="s">
        <v>37</v>
      </c>
      <c r="E22" s="14">
        <v>4294974524.2700005</v>
      </c>
      <c r="F22" s="12" t="s">
        <v>41</v>
      </c>
      <c r="G22" s="21" t="s">
        <v>58</v>
      </c>
    </row>
    <row r="23" spans="2:7" x14ac:dyDescent="0.3">
      <c r="B23" s="12" t="s">
        <v>31</v>
      </c>
      <c r="C23" s="12" t="s">
        <v>35</v>
      </c>
      <c r="D23" s="12" t="s">
        <v>38</v>
      </c>
      <c r="E23" s="14">
        <v>9912667844.6435699</v>
      </c>
      <c r="F23" s="12" t="s">
        <v>42</v>
      </c>
      <c r="G23" s="21" t="s">
        <v>58</v>
      </c>
    </row>
    <row r="24" spans="2:7" x14ac:dyDescent="0.3">
      <c r="B24" s="12" t="s">
        <v>31</v>
      </c>
      <c r="C24" s="12" t="s">
        <v>35</v>
      </c>
      <c r="D24" s="12" t="s">
        <v>39</v>
      </c>
      <c r="E24" s="14">
        <v>4143389128.6700001</v>
      </c>
      <c r="F24" s="12" t="s">
        <v>43</v>
      </c>
      <c r="G24" s="21" t="s">
        <v>58</v>
      </c>
    </row>
    <row r="25" spans="2:7" x14ac:dyDescent="0.3">
      <c r="B25" s="12" t="s">
        <v>44</v>
      </c>
      <c r="C25" s="12" t="s">
        <v>45</v>
      </c>
      <c r="D25" s="12" t="s">
        <v>47</v>
      </c>
      <c r="E25" s="15">
        <v>729032210.91739821</v>
      </c>
      <c r="F25" s="16">
        <v>729032210.89999998</v>
      </c>
      <c r="G25" s="21" t="s">
        <v>58</v>
      </c>
    </row>
    <row r="26" spans="2:7" x14ac:dyDescent="0.3">
      <c r="B26" s="12" t="s">
        <v>44</v>
      </c>
      <c r="C26" s="12" t="s">
        <v>45</v>
      </c>
      <c r="D26" s="12" t="s">
        <v>48</v>
      </c>
      <c r="E26" s="15">
        <v>473753770.69999999</v>
      </c>
      <c r="F26" s="16">
        <v>473753770.69</v>
      </c>
      <c r="G26" s="21" t="s">
        <v>58</v>
      </c>
    </row>
    <row r="27" spans="2:7" x14ac:dyDescent="0.3">
      <c r="B27" s="12" t="s">
        <v>44</v>
      </c>
      <c r="C27" s="12" t="s">
        <v>45</v>
      </c>
      <c r="D27" s="12" t="s">
        <v>49</v>
      </c>
      <c r="E27" s="15">
        <v>812538343.00728261</v>
      </c>
      <c r="F27" s="16">
        <v>812538343.09000003</v>
      </c>
      <c r="G27" s="21" t="s">
        <v>58</v>
      </c>
    </row>
    <row r="28" spans="2:7" x14ac:dyDescent="0.3">
      <c r="B28" s="12" t="s">
        <v>44</v>
      </c>
      <c r="C28" s="12" t="s">
        <v>45</v>
      </c>
      <c r="D28" s="12" t="s">
        <v>50</v>
      </c>
      <c r="E28" s="15">
        <v>459056439.39999998</v>
      </c>
      <c r="F28" s="16">
        <v>459056439.37</v>
      </c>
      <c r="G28" s="21" t="s">
        <v>58</v>
      </c>
    </row>
    <row r="29" spans="2:7" x14ac:dyDescent="0.3">
      <c r="B29" s="12" t="s">
        <v>44</v>
      </c>
      <c r="C29" s="12" t="s">
        <v>46</v>
      </c>
      <c r="D29" s="12" t="s">
        <v>47</v>
      </c>
      <c r="E29" s="15">
        <v>4474929890.29</v>
      </c>
      <c r="F29" s="16">
        <v>4474929890.2799997</v>
      </c>
      <c r="G29" s="21" t="s">
        <v>58</v>
      </c>
    </row>
    <row r="30" spans="2:7" x14ac:dyDescent="0.3">
      <c r="B30" s="12" t="s">
        <v>44</v>
      </c>
      <c r="C30" s="12" t="s">
        <v>46</v>
      </c>
      <c r="D30" s="12" t="s">
        <v>48</v>
      </c>
      <c r="E30" s="15">
        <v>4294974524.2700005</v>
      </c>
      <c r="F30" s="16">
        <v>4294974524.2600002</v>
      </c>
      <c r="G30" s="21" t="s">
        <v>58</v>
      </c>
    </row>
    <row r="31" spans="2:7" x14ac:dyDescent="0.3">
      <c r="B31" s="12" t="s">
        <v>44</v>
      </c>
      <c r="C31" s="12" t="s">
        <v>46</v>
      </c>
      <c r="D31" s="12" t="s">
        <v>49</v>
      </c>
      <c r="E31" s="15">
        <v>4984600433.1199999</v>
      </c>
      <c r="F31" s="16">
        <v>4984600433.71</v>
      </c>
      <c r="G31" s="21" t="s">
        <v>58</v>
      </c>
    </row>
    <row r="32" spans="2:7" x14ac:dyDescent="0.3">
      <c r="B32" s="12" t="s">
        <v>44</v>
      </c>
      <c r="C32" s="12" t="s">
        <v>46</v>
      </c>
      <c r="D32" s="12" t="s">
        <v>50</v>
      </c>
      <c r="E32" s="15">
        <v>4143389128.6700001</v>
      </c>
      <c r="F32" s="16">
        <v>4143376572.1399999</v>
      </c>
      <c r="G32" s="2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55712-2775-49BF-B951-AD61A8A8B67C}">
  <dimension ref="A1:L7"/>
  <sheetViews>
    <sheetView workbookViewId="0">
      <selection activeCell="J10" sqref="J10"/>
    </sheetView>
  </sheetViews>
  <sheetFormatPr defaultRowHeight="14.4" x14ac:dyDescent="0.3"/>
  <cols>
    <col min="2" max="2" width="16.6640625" style="2" bestFit="1" customWidth="1"/>
    <col min="3" max="3" width="15" bestFit="1" customWidth="1"/>
    <col min="4" max="4" width="20.109375" bestFit="1" customWidth="1"/>
    <col min="5" max="5" width="11.6640625" bestFit="1" customWidth="1"/>
    <col min="6" max="6" width="16.109375" style="2" bestFit="1" customWidth="1"/>
    <col min="8" max="8" width="16.109375" bestFit="1" customWidth="1"/>
    <col min="10" max="10" width="15" bestFit="1" customWidth="1"/>
    <col min="11" max="11" width="16.109375" bestFit="1" customWidth="1"/>
    <col min="12" max="12" width="10.109375" bestFit="1" customWidth="1"/>
  </cols>
  <sheetData>
    <row r="1" spans="1:12" x14ac:dyDescent="0.3">
      <c r="A1" t="s">
        <v>51</v>
      </c>
      <c r="B1" s="7">
        <v>1318139743.3900001</v>
      </c>
      <c r="F1" s="2">
        <v>1318161501.8600001</v>
      </c>
      <c r="H1" s="3">
        <f>B1-F1</f>
        <v>-21758.47000002861</v>
      </c>
      <c r="J1" s="1"/>
      <c r="K1" s="2"/>
    </row>
    <row r="2" spans="1:12" x14ac:dyDescent="0.3">
      <c r="A2" t="s">
        <v>52</v>
      </c>
      <c r="B2" s="2">
        <v>1279654956.8599999</v>
      </c>
      <c r="F2" s="2">
        <v>1279654956.8800001</v>
      </c>
      <c r="H2" s="3">
        <f t="shared" ref="H2:H7" si="0">B2-F2</f>
        <v>-2.0000219345092773E-2</v>
      </c>
    </row>
    <row r="3" spans="1:12" x14ac:dyDescent="0.3">
      <c r="A3" t="s">
        <v>53</v>
      </c>
      <c r="B3" s="2">
        <v>1365377588.71</v>
      </c>
      <c r="F3" s="2">
        <v>1365685564.4400001</v>
      </c>
      <c r="H3" s="3">
        <f t="shared" si="0"/>
        <v>-307975.73000001907</v>
      </c>
      <c r="J3" s="1"/>
      <c r="K3" s="3"/>
    </row>
    <row r="4" spans="1:12" x14ac:dyDescent="0.3">
      <c r="A4" t="s">
        <v>54</v>
      </c>
      <c r="B4" s="2">
        <v>1253542097.1500001</v>
      </c>
      <c r="C4" s="4"/>
      <c r="F4" s="2">
        <v>1253575577.95</v>
      </c>
      <c r="H4" s="3">
        <f t="shared" si="0"/>
        <v>-33480.799999952316</v>
      </c>
      <c r="J4" s="1"/>
      <c r="K4" s="2"/>
      <c r="L4" s="3"/>
    </row>
    <row r="5" spans="1:12" ht="16.8" customHeight="1" x14ac:dyDescent="0.3">
      <c r="A5" t="s">
        <v>55</v>
      </c>
      <c r="B5" s="2">
        <v>1199224006.5899999</v>
      </c>
      <c r="C5" s="1">
        <f>SUM(B1:B5)</f>
        <v>6415938392.7000008</v>
      </c>
      <c r="D5" s="6">
        <v>6416301607.7200003</v>
      </c>
      <c r="E5" s="3">
        <f>C5-D5</f>
        <v>-363215.01999950409</v>
      </c>
      <c r="F5" s="2">
        <v>1199224006.5900004</v>
      </c>
      <c r="H5" s="3">
        <f t="shared" si="0"/>
        <v>0</v>
      </c>
    </row>
    <row r="6" spans="1:12" x14ac:dyDescent="0.3">
      <c r="A6" t="s">
        <v>56</v>
      </c>
      <c r="B6" s="2">
        <v>849865163.89999998</v>
      </c>
      <c r="C6" s="5"/>
      <c r="F6" s="2">
        <v>849865163.89999819</v>
      </c>
      <c r="H6" s="3">
        <f t="shared" si="0"/>
        <v>1.7881393432617188E-6</v>
      </c>
    </row>
    <row r="7" spans="1:12" x14ac:dyDescent="0.3">
      <c r="A7" t="s">
        <v>57</v>
      </c>
      <c r="B7" s="2">
        <f>SUM(B1:B6)</f>
        <v>7265803556.6000004</v>
      </c>
      <c r="H7" s="3">
        <f t="shared" si="0"/>
        <v>7265803556.6000004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Kusala Jeewananda</dc:creator>
  <cp:lastModifiedBy>Kusala Jeewananda</cp:lastModifiedBy>
  <dcterms:created xsi:type="dcterms:W3CDTF">2026-09-26T15:59:18Z</dcterms:created>
  <dcterms:modified xsi:type="dcterms:W3CDTF">2026-09-26T17:28:22Z</dcterms:modified>
</cp:coreProperties>
</file>